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Program Files (x86)\DIO\Projetos DIO\Nova pasta\"/>
    </mc:Choice>
  </mc:AlternateContent>
  <xr:revisionPtr revIDLastSave="0" documentId="8_{C11D7CEF-B22D-4E59-A2BF-02765F716B85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álculos" sheetId="5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5" l="1"/>
  <c r="C17" i="5"/>
</calcChain>
</file>

<file path=xl/sharedStrings.xml><?xml version="1.0" encoding="utf-8"?>
<sst xmlns="http://schemas.openxmlformats.org/spreadsheetml/2006/main" count="2016" uniqueCount="320">
  <si>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</si>
  <si>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</si>
  <si>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</si>
  <si>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</si>
  <si>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</si>
  <si>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</si>
  <si>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</si>
  <si>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</si>
  <si>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</si>
  <si>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</si>
  <si>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</si>
  <si>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</si>
  <si>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</si>
  <si>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</si>
  <si>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</si>
  <si>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</si>
  <si>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</si>
  <si>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</si>
  <si>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</si>
  <si>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</si>
  <si>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</si>
  <si>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</si>
  <si>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</si>
  <si>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</si>
  <si>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</si>
  <si>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</si>
  <si>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</si>
  <si>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</si>
  <si>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</si>
  <si>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</si>
  <si>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</si>
  <si>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</si>
  <si>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</si>
  <si>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</si>
  <si>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</si>
  <si>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</si>
  <si>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</si>
  <si>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</si>
  <si>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</si>
  <si>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</si>
  <si>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</si>
  <si>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</si>
  <si>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</si>
  <si>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</si>
  <si>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</si>
  <si>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</si>
  <si>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</si>
  <si>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</si>
  <si>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</si>
  <si>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</si>
  <si>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</si>
  <si>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</si>
  <si>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</si>
  <si>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</si>
  <si>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</si>
  <si>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</si>
  <si>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</si>
  <si>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</si>
  <si>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</si>
  <si>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</si>
  <si>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</si>
  <si>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</si>
  <si>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</si>
  <si>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</si>
  <si>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</si>
  <si>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</si>
  <si>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</si>
  <si>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</si>
  <si>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</si>
  <si>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</si>
  <si>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</si>
  <si>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</si>
  <si>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</si>
  <si>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</si>
  <si>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</si>
  <si>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</si>
  <si>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</si>
  <si>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</si>
  <si>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</si>
  <si>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</si>
  <si>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</si>
  <si>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</si>
  <si>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</si>
  <si>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</si>
  <si>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</si>
  <si>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</si>
  <si>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</si>
  <si>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</si>
  <si>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</si>
  <si>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</si>
  <si>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</si>
  <si>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</si>
  <si>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</si>
  <si>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</si>
  <si>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</si>
  <si>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</si>
  <si>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</si>
  <si>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</si>
  <si>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</si>
  <si>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</si>
  <si>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</si>
  <si>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</si>
  <si>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</si>
  <si>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</si>
  <si>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</si>
  <si>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</si>
  <si>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</si>
  <si>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</si>
  <si>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</si>
  <si>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</si>
  <si>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</si>
  <si>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</si>
  <si>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</si>
  <si>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</si>
  <si>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</si>
  <si>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</si>
  <si>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</si>
  <si>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</si>
  <si>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</si>
  <si>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</si>
  <si>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</si>
  <si>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</si>
  <si>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</si>
  <si>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</si>
  <si>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</si>
  <si>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</si>
  <si>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</si>
  <si>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</si>
  <si>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</si>
  <si>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</si>
  <si>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</si>
  <si>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</si>
  <si>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</si>
  <si>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</si>
  <si>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</si>
  <si>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</si>
  <si>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</si>
  <si>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</si>
  <si>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</si>
  <si>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</si>
  <si>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</si>
  <si>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</si>
  <si>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</si>
  <si>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</si>
  <si>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</si>
  <si>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</si>
  <si>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</si>
  <si>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</si>
  <si>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</si>
  <si>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</si>
  <si>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</si>
  <si>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</si>
  <si>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</si>
  <si>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</si>
  <si>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</si>
  <si>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</si>
  <si>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</si>
  <si>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</si>
  <si>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</si>
  <si>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</si>
  <si>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</si>
  <si>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</si>
  <si>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</si>
  <si>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</si>
  <si>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</si>
  <si>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</si>
  <si>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</si>
  <si>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</si>
  <si>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</si>
  <si>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</si>
  <si>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</si>
  <si>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</si>
  <si>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</si>
  <si>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</si>
  <si>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</si>
  <si>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</si>
  <si>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</si>
  <si>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</si>
  <si>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</si>
  <si>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</si>
  <si>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</si>
  <si>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</si>
  <si>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</si>
  <si>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</si>
  <si>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</si>
  <si>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</si>
  <si>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</si>
  <si>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</si>
  <si>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</si>
  <si>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</si>
  <si>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</si>
  <si>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</si>
  <si>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</si>
  <si>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</si>
  <si>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</si>
  <si>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</si>
  <si>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</si>
  <si>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</si>
  <si>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</si>
  <si>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</si>
  <si>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</si>
  <si>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</si>
  <si>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</si>
  <si>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</si>
  <si>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</si>
  <si>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</si>
  <si>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</si>
  <si>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</si>
  <si>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</si>
  <si>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</si>
  <si>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</si>
  <si>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</si>
  <si>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</si>
  <si>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</si>
  <si>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</si>
  <si>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</si>
  <si>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</si>
  <si>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</si>
  <si>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</si>
  <si>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</si>
  <si>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</si>
  <si>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</si>
  <si>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</si>
  <si>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</si>
  <si>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</si>
  <si>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</si>
  <si>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</si>
  <si>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</si>
  <si>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</si>
  <si>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</si>
  <si>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</si>
  <si>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</si>
  <si>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</si>
  <si>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</si>
  <si>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</si>
  <si>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</si>
  <si>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</si>
  <si>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</si>
  <si>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</si>
  <si>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</si>
  <si>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</si>
  <si>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</si>
  <si>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</si>
  <si>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</si>
  <si>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</si>
  <si>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</si>
  <si>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</si>
  <si>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</si>
  <si>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</si>
  <si>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</si>
  <si>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</si>
  <si>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</si>
  <si>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</si>
  <si>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</si>
  <si>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</si>
  <si>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</si>
  <si>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</si>
  <si>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</si>
  <si>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</si>
  <si>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</si>
  <si>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</si>
  <si>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</si>
  <si>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</si>
  <si>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</si>
  <si>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</si>
  <si>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</si>
  <si>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</si>
  <si>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</si>
  <si>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</si>
  <si>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</si>
  <si>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</si>
  <si>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</si>
  <si>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</si>
  <si>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</si>
  <si>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</si>
  <si>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</si>
  <si>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</si>
  <si>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</si>
  <si>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</si>
  <si>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</si>
  <si>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</si>
  <si>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</si>
  <si>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</si>
  <si>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</si>
  <si>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</si>
  <si>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</si>
  <si>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</si>
  <si>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</si>
  <si>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</si>
  <si>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</si>
  <si>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</si>
  <si>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</si>
  <si>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</si>
  <si>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</si>
  <si>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</si>
  <si>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</si>
  <si>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</si>
  <si>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</si>
  <si>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</si>
  <si>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</si>
  <si>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</si>
  <si>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</si>
  <si>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</si>
  <si>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</si>
  <si>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</si>
  <si>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</si>
  <si>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</si>
  <si>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</si>
  <si>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</si>
  <si>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</si>
  <si>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</si>
  <si>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</si>
  <si>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</si>
  <si>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</si>
  <si>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</si>
  <si>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</si>
  <si>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PASS SUBSCRIPTIONS SALES</t>
  </si>
  <si>
    <t>Soma de EA Play Season Pass</t>
  </si>
  <si>
    <t>Soma de Minecraft Season Pass Price</t>
  </si>
  <si>
    <t>&gt; Bem vindo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</si>
</sst>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7" formatCode="_-* #,##0_-;\-* #,##0_-;_-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20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9" borderId="0" xfId="0" applyFill="1"/>
    <xf numFmtId="164" fontId="0" fillId="8" borderId="0" xfId="0" applyNumberFormat="1" applyFill="1"/>
    <xf numFmtId="167" fontId="0" fillId="8" borderId="0" xfId="0" applyNumberFormat="1" applyFill="1"/>
    <xf numFmtId="0" fontId="4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286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7" formatCode="_-* #,##0_-;\-* #,##0_-;_-* &quot;-&quot;??_-;_-@_-"/>
    </dxf>
    <dxf>
      <numFmt numFmtId="167" formatCode="_-* #,##0_-;\-* #,##0_-;_-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/>
      </border>
    </dxf>
    <dxf>
      <numFmt numFmtId="164" formatCode="_-[$R$-416]\ * #,##0.00_-;\-[$R$-416]\ * #,##0.00_-;_-[$R$-416]\ * &quot;-&quot;??_-;_-@_-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5102521A-1CEB-4D9A-8DA2-425104A697E4}">
      <tableStyleElement type="wholeTable" dxfId="265"/>
      <tableStyleElement type="headerRow" dxfId="264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[xbobx_subscription.xlsx]Cálculos!Tabela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rgbClr val="22C55E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4626643982060756E-2"/>
          <c:y val="0.20163132726297683"/>
          <c:w val="0.95750024147590074"/>
          <c:h val="0.59355193655856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01B-4624-B9B8-0803D1256C64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1B-4624-B9B8-0803D1256C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Cálculos!$B$4:$B$6</c:f>
              <c:numCache>
                <c:formatCode>_-[$R$-416]\ * #,##0.00_-;\-[$R$-416]\ * #,##0.00_-;_-[$R$-416]\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B-4624-B9B8-0803D1256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795631"/>
        <c:axId val="367794799"/>
      </c:barChart>
      <c:catAx>
        <c:axId val="36779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794799"/>
        <c:crosses val="autoZero"/>
        <c:auto val="1"/>
        <c:lblAlgn val="ctr"/>
        <c:lblOffset val="100"/>
        <c:noMultiLvlLbl val="0"/>
      </c:catAx>
      <c:valAx>
        <c:axId val="367794799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36779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2273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24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243840</xdr:colOff>
      <xdr:row>4</xdr:row>
      <xdr:rowOff>129540</xdr:rowOff>
    </xdr:from>
    <xdr:to>
      <xdr:col>7</xdr:col>
      <xdr:colOff>60960</xdr:colOff>
      <xdr:row>18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8D84D54E-1B3A-4AF0-BED3-E24099407E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39940" y="8305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76200</xdr:rowOff>
    </xdr:from>
    <xdr:to>
      <xdr:col>3</xdr:col>
      <xdr:colOff>419100</xdr:colOff>
      <xdr:row>2</xdr:row>
      <xdr:rowOff>62520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9EB0FD2-99AD-4666-87AD-5967F23BB1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4143" r="67712"/>
        <a:stretch/>
      </xdr:blipFill>
      <xdr:spPr>
        <a:xfrm>
          <a:off x="2476500" y="76200"/>
          <a:ext cx="714375" cy="65307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161925</xdr:rowOff>
    </xdr:from>
    <xdr:to>
      <xdr:col>1</xdr:col>
      <xdr:colOff>0</xdr:colOff>
      <xdr:row>26</xdr:row>
      <xdr:rowOff>43815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ubscription Type 1">
              <a:extLst>
                <a:ext uri="{FF2B5EF4-FFF2-40B4-BE49-F238E27FC236}">
                  <a16:creationId xmlns:a16="http://schemas.microsoft.com/office/drawing/2014/main" id="{F68E7CD9-24E8-4D71-BA64-77C4C89DCB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38350"/>
              <a:ext cx="1828800" cy="2796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381000</xdr:colOff>
      <xdr:row>6</xdr:row>
      <xdr:rowOff>266700</xdr:rowOff>
    </xdr:from>
    <xdr:to>
      <xdr:col>12</xdr:col>
      <xdr:colOff>123825</xdr:colOff>
      <xdr:row>16</xdr:row>
      <xdr:rowOff>143957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DB74FFDE-26B5-4014-ADF7-4E5828C9514A}"/>
            </a:ext>
          </a:extLst>
        </xdr:cNvPr>
        <xdr:cNvGrpSpPr/>
      </xdr:nvGrpSpPr>
      <xdr:grpSpPr>
        <a:xfrm>
          <a:off x="3152775" y="1381125"/>
          <a:ext cx="5581650" cy="1839407"/>
          <a:chOff x="2095499" y="1467445"/>
          <a:chExt cx="4514851" cy="1839407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EB11067A-A011-415C-9DFB-3AB395F735FA}"/>
              </a:ext>
            </a:extLst>
          </xdr:cNvPr>
          <xdr:cNvSpPr/>
        </xdr:nvSpPr>
        <xdr:spPr>
          <a:xfrm>
            <a:off x="2095499" y="1467445"/>
            <a:ext cx="4514851" cy="1599605"/>
          </a:xfrm>
          <a:prstGeom prst="round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s!C17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4DA3ED32-EF27-40F9-AE37-D8A82F48B283}"/>
              </a:ext>
            </a:extLst>
          </xdr:cNvPr>
          <xdr:cNvSpPr/>
        </xdr:nvSpPr>
        <xdr:spPr>
          <a:xfrm>
            <a:off x="4314825" y="1810344"/>
            <a:ext cx="2228850" cy="116205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9892756-2797-44D9-BC51-4391011F67E0}" type="TxLink">
              <a:rPr lang="en-US" sz="2800" b="0" i="0" u="none" strike="noStrike">
                <a:solidFill>
                  <a:srgbClr val="000000"/>
                </a:solidFill>
                <a:latin typeface="Aptos Narrow"/>
              </a:rPr>
              <a:pPr algn="ctr"/>
              <a:t> R$ 990,00 </a:t>
            </a:fld>
            <a:endParaRPr lang="pt-BR" sz="2800"/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B84811B8-3D33-4184-8FAB-1BBACB2CC3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4491" y="1499571"/>
            <a:ext cx="2163818" cy="1807281"/>
          </a:xfrm>
          <a:prstGeom prst="rect">
            <a:avLst/>
          </a:prstGeom>
        </xdr:spPr>
      </xdr:pic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5FBD5251-F9E0-408E-AE62-0B2226D61923}"/>
              </a:ext>
            </a:extLst>
          </xdr:cNvPr>
          <xdr:cNvSpPr/>
        </xdr:nvSpPr>
        <xdr:spPr>
          <a:xfrm>
            <a:off x="2095499" y="1467445"/>
            <a:ext cx="4514849" cy="438150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ysClr val="windowText" lastClr="000000"/>
                </a:solidFill>
              </a:rPr>
              <a:t>TOTAL</a:t>
            </a:r>
            <a:r>
              <a:rPr lang="pt-BR" sz="1600" b="1" baseline="0">
                <a:solidFill>
                  <a:sysClr val="windowText" lastClr="000000"/>
                </a:solidFill>
              </a:rPr>
              <a:t> SUBSCRIPTIONS EA PLAY SEASON PASS</a:t>
            </a:r>
            <a:endParaRPr lang="pt-BR" sz="16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12</xdr:col>
      <xdr:colOff>638175</xdr:colOff>
      <xdr:row>6</xdr:row>
      <xdr:rowOff>257175</xdr:rowOff>
    </xdr:from>
    <xdr:to>
      <xdr:col>21</xdr:col>
      <xdr:colOff>466725</xdr:colOff>
      <xdr:row>15</xdr:row>
      <xdr:rowOff>66080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C3BAB1E8-4B2A-4C06-8E2C-CE9E9869FE31}"/>
            </a:ext>
          </a:extLst>
        </xdr:cNvPr>
        <xdr:cNvGrpSpPr/>
      </xdr:nvGrpSpPr>
      <xdr:grpSpPr>
        <a:xfrm>
          <a:off x="9248775" y="1371600"/>
          <a:ext cx="5829300" cy="1599605"/>
          <a:chOff x="7715250" y="1409700"/>
          <a:chExt cx="4514851" cy="1599605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88D99B64-EE30-4F52-BFD8-1B8430398BA0}"/>
              </a:ext>
            </a:extLst>
          </xdr:cNvPr>
          <xdr:cNvSpPr/>
        </xdr:nvSpPr>
        <xdr:spPr>
          <a:xfrm>
            <a:off x="7715250" y="1409700"/>
            <a:ext cx="4514851" cy="1599605"/>
          </a:xfrm>
          <a:prstGeom prst="round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s!C31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A0D0ED1C-257F-47AA-A13C-5DDDC9AAEA2D}"/>
              </a:ext>
            </a:extLst>
          </xdr:cNvPr>
          <xdr:cNvSpPr/>
        </xdr:nvSpPr>
        <xdr:spPr>
          <a:xfrm>
            <a:off x="9963150" y="1762124"/>
            <a:ext cx="2061566" cy="116205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F1F1601-354B-4253-8CA2-A6FEC9688DBF}" type="TxLink">
              <a:rPr lang="en-US" sz="2800" b="0" i="0" u="none" strike="noStrike">
                <a:solidFill>
                  <a:srgbClr val="000000"/>
                </a:solidFill>
                <a:latin typeface="Aptos Narrow"/>
              </a:rPr>
              <a:t> R$ 1.140,00 </a:t>
            </a:fld>
            <a:endParaRPr lang="pt-BR" sz="9600"/>
          </a:p>
        </xdr:txBody>
      </xdr: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409BA30B-CA28-48D4-B36F-C70DFA98BB62}"/>
              </a:ext>
            </a:extLst>
          </xdr:cNvPr>
          <xdr:cNvSpPr/>
        </xdr:nvSpPr>
        <xdr:spPr>
          <a:xfrm>
            <a:off x="7715251" y="1409700"/>
            <a:ext cx="4514850" cy="438150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ysClr val="windowText" lastClr="000000"/>
                </a:solidFill>
              </a:rPr>
              <a:t>TOTAL</a:t>
            </a:r>
            <a:r>
              <a:rPr lang="pt-BR" sz="1600" b="1" baseline="0">
                <a:solidFill>
                  <a:sysClr val="windowText" lastClr="000000"/>
                </a:solidFill>
              </a:rPr>
              <a:t> SUBSCRIPTIONS EA PLAY SEASON PASS</a:t>
            </a:r>
            <a:endParaRPr lang="pt-BR" sz="1600" b="1">
              <a:solidFill>
                <a:sysClr val="windowText" lastClr="000000"/>
              </a:solidFill>
            </a:endParaRPr>
          </a:p>
        </xdr:txBody>
      </xdr:sp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0BE1DAB6-6D18-40FF-B049-8FBCEA27C804}"/>
              </a:ext>
            </a:extLst>
          </xdr:cNvPr>
          <xdr:cNvGrpSpPr/>
        </xdr:nvGrpSpPr>
        <xdr:grpSpPr>
          <a:xfrm>
            <a:off x="8130185" y="1981199"/>
            <a:ext cx="1732356" cy="691516"/>
            <a:chOff x="8191500" y="1971675"/>
            <a:chExt cx="1732356" cy="691516"/>
          </a:xfrm>
        </xdr:grpSpPr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A77CF777-0A4F-430B-B716-58914DC44D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753793" y="1971675"/>
              <a:ext cx="621061" cy="560214"/>
            </a:xfrm>
            <a:prstGeom prst="rect">
              <a:avLst/>
            </a:prstGeom>
          </xdr:spPr>
        </xdr:pic>
        <xdr:pic>
          <xdr:nvPicPr>
            <xdr:cNvPr id="30" name="Gráfico 29">
              <a:extLst>
                <a:ext uri="{FF2B5EF4-FFF2-40B4-BE49-F238E27FC236}">
                  <a16:creationId xmlns:a16="http://schemas.microsoft.com/office/drawing/2014/main" id="{9738E466-9CFD-4FC6-BCE8-3D1826E630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8191500" y="2426815"/>
              <a:ext cx="1732356" cy="236376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</xdr:col>
      <xdr:colOff>333375</xdr:colOff>
      <xdr:row>18</xdr:row>
      <xdr:rowOff>9526</xdr:rowOff>
    </xdr:from>
    <xdr:to>
      <xdr:col>21</xdr:col>
      <xdr:colOff>571500</xdr:colOff>
      <xdr:row>38</xdr:row>
      <xdr:rowOff>28574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72B70CAF-A9F8-41E8-A6A8-33555B5BC572}"/>
            </a:ext>
          </a:extLst>
        </xdr:cNvPr>
        <xdr:cNvGrpSpPr/>
      </xdr:nvGrpSpPr>
      <xdr:grpSpPr>
        <a:xfrm>
          <a:off x="3105150" y="3429001"/>
          <a:ext cx="12077700" cy="3448048"/>
          <a:chOff x="3105150" y="3429001"/>
          <a:chExt cx="11849100" cy="3448048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71016AAB-2BB3-44A4-A0EA-6ED95C2144B9}"/>
              </a:ext>
            </a:extLst>
          </xdr:cNvPr>
          <xdr:cNvGraphicFramePr/>
        </xdr:nvGraphicFramePr>
        <xdr:xfrm>
          <a:off x="3105150" y="3475469"/>
          <a:ext cx="11849100" cy="34015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A6924178-19ED-4EA0-BCFB-71215C7C7A9A}"/>
              </a:ext>
            </a:extLst>
          </xdr:cNvPr>
          <xdr:cNvSpPr/>
        </xdr:nvSpPr>
        <xdr:spPr>
          <a:xfrm>
            <a:off x="3121035" y="3429001"/>
            <a:ext cx="11833215" cy="534401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ysClr val="windowText" lastClr="000000"/>
                </a:solidFill>
              </a:rPr>
              <a:t>TOTAL</a:t>
            </a:r>
            <a:r>
              <a:rPr lang="pt-BR" sz="1600" b="1" baseline="0">
                <a:solidFill>
                  <a:sysClr val="windowText" lastClr="000000"/>
                </a:solidFill>
              </a:rPr>
              <a:t> SUBSCRIPTIONS XBOX GAME PASS</a:t>
            </a:r>
            <a:endParaRPr lang="pt-BR" sz="16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447675</xdr:colOff>
      <xdr:row>1</xdr:row>
      <xdr:rowOff>371475</xdr:rowOff>
    </xdr:from>
    <xdr:to>
      <xdr:col>0</xdr:col>
      <xdr:colOff>1203960</xdr:colOff>
      <xdr:row>6</xdr:row>
      <xdr:rowOff>121920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B1192315-ED63-4334-AFE2-442BDCA8B465}"/>
            </a:ext>
          </a:extLst>
        </xdr:cNvPr>
        <xdr:cNvSpPr/>
      </xdr:nvSpPr>
      <xdr:spPr>
        <a:xfrm>
          <a:off x="447675" y="542925"/>
          <a:ext cx="756285" cy="69342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" refreshedDate="46098.370204861109" createdVersion="7" refreshedVersion="7" minRefreshableVersion="3" recordCount="295" xr:uid="{B2C99BFD-150B-4C5B-880C-BDE77E0B3EB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334655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B438C-E7C6-4842-B3E0-B0345A33D515}" name="Tabela dinâ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A27:B3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6">
    <format dxfId="252">
      <pivotArea type="all" dataOnly="0" outline="0" fieldPosition="0"/>
    </format>
    <format dxfId="253">
      <pivotArea outline="0" collapsedLevelsAreSubtotals="1" fieldPosition="0"/>
    </format>
    <format dxfId="254">
      <pivotArea field="6" type="button" dataOnly="0" labelOnly="1" outline="0" axis="axisPage" fieldPosition="0"/>
    </format>
    <format dxfId="255">
      <pivotArea dataOnly="0" labelOnly="1" grandRow="1" outline="0" fieldPosition="0"/>
    </format>
    <format dxfId="256">
      <pivotArea dataOnly="0" labelOnly="1" outline="0" axis="axisValues" fieldPosition="0"/>
    </format>
    <format dxfId="2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F53AA-C0E0-4B8E-B3F6-D8F9B5AEF804}" name="Tabela dinâ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A15:B1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6">
    <format dxfId="259">
      <pivotArea type="all" dataOnly="0" outline="0" fieldPosition="0"/>
    </format>
    <format dxfId="260">
      <pivotArea outline="0" collapsedLevelsAreSubtotals="1" fieldPosition="0"/>
    </format>
    <format dxfId="261">
      <pivotArea field="6" type="button" dataOnly="0" labelOnly="1" outline="0" axis="axisPage" fieldPosition="0"/>
    </format>
    <format dxfId="262">
      <pivotArea dataOnly="0" labelOnly="1" grandRow="1" outline="0" fieldPosition="0"/>
    </format>
    <format dxfId="263">
      <pivotArea dataOnly="0" labelOnly="1" outline="0" axis="axisValues" fieldPosition="0"/>
    </format>
    <format dxfId="2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85AAA-B0F5-459C-9BE4-09EFE449A38E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A3:B6" firstHeaderRow="1" firstDataRow="1" firstDataCol="1"/>
  <pivotFields count="13">
    <pivotField showAll="0"/>
    <pivotField showAll="0"/>
    <pivotField showAll="0"/>
    <pivotField numFmtId="14" showAll="0"/>
    <pivotField axis="axisRow" multipleItemSelectionAllowed="1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164"/>
  </dataFields>
  <formats count="6">
    <format dxfId="267">
      <pivotArea type="all" dataOnly="0" outline="0" fieldPosition="0"/>
    </format>
    <format dxfId="268">
      <pivotArea outline="0" collapsedLevelsAreSubtotals="1" fieldPosition="0"/>
    </format>
    <format dxfId="269">
      <pivotArea field="6" type="button" dataOnly="0" labelOnly="1" outline="0"/>
    </format>
    <format dxfId="270">
      <pivotArea dataOnly="0" labelOnly="1" grandRow="1" outline="0" fieldPosition="0"/>
    </format>
    <format dxfId="271">
      <pivotArea dataOnly="0" labelOnly="1" outline="0" axis="axisValues" fieldPosition="0"/>
    </format>
    <format dxfId="266">
      <pivotArea outline="0" collapsedLevelsAreSubtotals="1" fieldPosition="0"/>
    </format>
  </format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8F460CA-8182-46C0-AF98-09BBEA0B419D}" sourceName="Subscription Type">
  <pivotTables>
    <pivotTable tabId="5" name="Tabela dinâmica1"/>
    <pivotTable tabId="5" name="Tabela dinâmica2"/>
    <pivotTable tabId="5" name="Tabela dinâmica3"/>
  </pivotTables>
  <data>
    <tabular pivotCacheId="133346550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7AFFC28-5A63-40AA-BD37-C5545AAC54B3}" cache="SegmentaçãodeDados_Subscription_Type" caption="Subscription Type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274DA974-3CF9-40DF-A5A4-C76D574449D0}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85">
  <autoFilter ref="A1:M296" xr:uid="{34E0E886-4200-4B36-97B3-63DB74FF40A0}">
    <filterColumn colId="6">
      <filters>
        <filter val="Annual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284"/>
    <tableColumn id="2" xr3:uid="{53DD39D0-2220-4121-9E9D-4EAA7E151C0F}" name="Name" dataDxfId="283"/>
    <tableColumn id="3" xr3:uid="{4F5FF271-4C57-4BE0-8F2C-F82C8551625C}" name="Plan" dataDxfId="282"/>
    <tableColumn id="4" xr3:uid="{8C17EB93-79B9-4E55-B8F7-BEB82F8253E9}" name="Start Date" dataDxfId="281"/>
    <tableColumn id="5" xr3:uid="{48CEDF9B-1689-482A-A828-5CCE7713264A}" name="Auto Renewal" dataDxfId="280"/>
    <tableColumn id="6" xr3:uid="{78B82374-9AA7-4E38-AE4F-78CDE6C83720}" name="Subscription Price" dataDxfId="279" dataCellStyle="Moeda"/>
    <tableColumn id="7" xr3:uid="{F2433F68-AF33-49D0-B1FB-19A396074EDE}" name="Subscription Type" dataDxfId="278"/>
    <tableColumn id="8" xr3:uid="{FD4D9C95-F6E5-4933-9068-A71FF7DF9343}" name="EA Play Season Pass" dataDxfId="277"/>
    <tableColumn id="13" xr3:uid="{978DD0D2-834E-4CE4-A39B-30976086932F}" name="EA Play Season Pass_x000a_Price" dataDxfId="276" dataCellStyle="Moeda"/>
    <tableColumn id="9" xr3:uid="{6E29F111-C395-4580-9DAD-3407D9E8B1A4}" name="Minecraft Season Pass" dataDxfId="275"/>
    <tableColumn id="10" xr3:uid="{EF544EAA-7F25-4FD5-A10E-8E62804DB9E3}" name="Minecraft Season Pass Price" dataDxfId="274" dataCellStyle="Moeda"/>
    <tableColumn id="11" xr3:uid="{7F6EB64A-1F07-4E48-9F0F-AC7D9DCD26F8}" name="Coupon Value" dataDxfId="273" dataCellStyle="Moeda"/>
    <tableColumn id="12" xr3:uid="{2B04ABC8-DE6F-426E-ADC0-D8AFC68CA58E}" name="Total Value" dataDxfId="27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K8" sqref="K8"/>
    </sheetView>
  </sheetViews>
  <sheetFormatPr defaultRowHeight="13.8"/>
  <cols>
    <col min="9" max="9" width="3.59765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 ht="15">
      <c r="B5" s="3" t="s">
        <v>2</v>
      </c>
      <c r="C5" t="s">
        <v>8</v>
      </c>
      <c r="E5" s="7" t="s">
        <v>6</v>
      </c>
      <c r="F5" t="s">
        <v>7</v>
      </c>
    </row>
    <row r="6" spans="2:16" ht="15">
      <c r="B6" s="4" t="s">
        <v>3</v>
      </c>
      <c r="C6" t="s">
        <v>8</v>
      </c>
    </row>
    <row r="7" spans="2:16" ht="15">
      <c r="B7" s="5" t="s">
        <v>4</v>
      </c>
      <c r="C7" t="s">
        <v>9</v>
      </c>
    </row>
    <row r="8" spans="2:16" ht="15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 ht="15">
      <c r="B14" s="2"/>
      <c r="C14" s="2"/>
      <c r="D14" s="2"/>
      <c r="E14" s="2"/>
      <c r="F14" s="2"/>
      <c r="G14" s="2"/>
      <c r="H14" s="2"/>
    </row>
    <row r="15" spans="2:16" ht="15">
      <c r="B15" s="2"/>
      <c r="C15" s="2"/>
      <c r="D15" s="2"/>
      <c r="E15" s="2"/>
      <c r="F15" s="2"/>
      <c r="G15" s="2"/>
      <c r="H15" s="2"/>
    </row>
    <row r="16" spans="2:16" ht="15">
      <c r="B16" s="2"/>
      <c r="C16" s="2"/>
      <c r="D16" s="2"/>
      <c r="E16" s="2"/>
      <c r="F16" s="2"/>
      <c r="G16" s="2"/>
      <c r="H16" s="2"/>
    </row>
    <row r="17" spans="2:8" ht="15">
      <c r="B17" s="2"/>
      <c r="C17" s="2"/>
      <c r="D17" s="2"/>
      <c r="E17" s="2"/>
      <c r="F17" s="2"/>
      <c r="G17" s="2"/>
      <c r="H17" s="2"/>
    </row>
    <row r="18" spans="2:8" ht="15">
      <c r="B18" s="2"/>
      <c r="C18" s="2"/>
      <c r="D18" s="2"/>
      <c r="E18" s="2"/>
      <c r="F18" s="2"/>
      <c r="G18" s="2"/>
      <c r="H18" s="2"/>
    </row>
    <row r="19" spans="2:8" ht="15">
      <c r="B19" s="2"/>
      <c r="C19" s="2"/>
      <c r="D19" s="2"/>
      <c r="E19" s="2"/>
      <c r="F19" s="2"/>
      <c r="G19" s="2"/>
      <c r="H19" s="2"/>
    </row>
    <row r="20" spans="2:8" ht="15">
      <c r="B20" s="2"/>
      <c r="C20" s="2"/>
      <c r="D20" s="2"/>
      <c r="E20" s="2"/>
      <c r="F20" s="2"/>
      <c r="G20" s="2"/>
      <c r="H20" s="2"/>
    </row>
    <row r="21" spans="2:8" ht="1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G2" sqref="G2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1768-4A8B-48E2-BA4B-6FE4D8768C24}">
  <sheetPr>
    <tabColor theme="3" tint="0.749992370372631"/>
  </sheetPr>
  <dimension ref="A3:C31"/>
  <sheetViews>
    <sheetView topLeftCell="A10" workbookViewId="0">
      <selection activeCell="C31" sqref="C31"/>
    </sheetView>
  </sheetViews>
  <sheetFormatPr defaultRowHeight="13.8"/>
  <cols>
    <col min="1" max="1" width="17.69921875" style="12" bestFit="1" customWidth="1"/>
    <col min="2" max="2" width="34.5" style="12" bestFit="1" customWidth="1"/>
    <col min="3" max="3" width="29.5" style="12" bestFit="1" customWidth="1"/>
    <col min="4" max="16384" width="8.796875" style="12"/>
  </cols>
  <sheetData>
    <row r="3" spans="1:2">
      <c r="A3" s="12" t="s">
        <v>313</v>
      </c>
      <c r="B3" s="12" t="s">
        <v>315</v>
      </c>
    </row>
    <row r="4" spans="1:2">
      <c r="A4" s="13" t="s">
        <v>23</v>
      </c>
      <c r="B4" s="15">
        <v>806</v>
      </c>
    </row>
    <row r="5" spans="1:2">
      <c r="A5" s="13" t="s">
        <v>19</v>
      </c>
      <c r="B5" s="15">
        <v>1502</v>
      </c>
    </row>
    <row r="6" spans="1:2">
      <c r="A6" s="13" t="s">
        <v>314</v>
      </c>
      <c r="B6" s="15">
        <v>2308</v>
      </c>
    </row>
    <row r="13" spans="1:2">
      <c r="A13" s="12" t="s">
        <v>16</v>
      </c>
      <c r="B13" s="12" t="s">
        <v>27</v>
      </c>
    </row>
    <row r="15" spans="1:2">
      <c r="A15" s="12" t="s">
        <v>313</v>
      </c>
      <c r="B15" s="12" t="s">
        <v>317</v>
      </c>
    </row>
    <row r="16" spans="1:2">
      <c r="A16" s="13" t="s">
        <v>22</v>
      </c>
      <c r="B16" s="16">
        <v>0</v>
      </c>
    </row>
    <row r="17" spans="1:3">
      <c r="A17" s="13" t="s">
        <v>26</v>
      </c>
      <c r="B17" s="16">
        <v>0</v>
      </c>
      <c r="C17" s="15">
        <f>GETPIVOTDATA("EA Play Season Pass
Price",$A$15)</f>
        <v>990</v>
      </c>
    </row>
    <row r="18" spans="1:3">
      <c r="A18" s="13" t="s">
        <v>18</v>
      </c>
      <c r="B18" s="16">
        <v>990</v>
      </c>
    </row>
    <row r="19" spans="1:3">
      <c r="A19" s="13" t="s">
        <v>314</v>
      </c>
      <c r="B19" s="16">
        <v>990</v>
      </c>
    </row>
    <row r="25" spans="1:3">
      <c r="A25" s="12" t="s">
        <v>16</v>
      </c>
      <c r="B25" s="12" t="s">
        <v>27</v>
      </c>
    </row>
    <row r="27" spans="1:3">
      <c r="A27" s="12" t="s">
        <v>313</v>
      </c>
      <c r="B27" s="12" t="s">
        <v>318</v>
      </c>
    </row>
    <row r="28" spans="1:3">
      <c r="A28" s="13" t="s">
        <v>22</v>
      </c>
      <c r="B28" s="16">
        <v>0</v>
      </c>
    </row>
    <row r="29" spans="1:3">
      <c r="A29" s="13" t="s">
        <v>26</v>
      </c>
      <c r="B29" s="16">
        <v>480</v>
      </c>
    </row>
    <row r="30" spans="1:3">
      <c r="A30" s="13" t="s">
        <v>18</v>
      </c>
      <c r="B30" s="16">
        <v>660</v>
      </c>
    </row>
    <row r="31" spans="1:3">
      <c r="A31" s="13" t="s">
        <v>314</v>
      </c>
      <c r="B31" s="16">
        <v>1140</v>
      </c>
      <c r="C31" s="15">
        <f>GETPIVOTDATA("Minecraft Season Pass Price",$A$27)</f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V108"/>
  <sheetViews>
    <sheetView showGridLines="0" tabSelected="1" zoomScale="80" zoomScaleNormal="80" workbookViewId="0">
      <selection activeCell="X17" sqref="X17"/>
    </sheetView>
  </sheetViews>
  <sheetFormatPr defaultRowHeight="13.8"/>
  <cols>
    <col min="1" max="1" width="24" customWidth="1"/>
    <col min="2" max="2" width="3.59765625" customWidth="1"/>
    <col min="12" max="12" width="6.59765625" customWidth="1"/>
  </cols>
  <sheetData>
    <row r="1" spans="1:74" s="4" customFormat="1">
      <c r="A1" s="14"/>
    </row>
    <row r="2" spans="1:74" s="4" customFormat="1" ht="39" customHeight="1">
      <c r="A2" s="14"/>
      <c r="C2" s="17"/>
      <c r="D2" s="17"/>
      <c r="E2" s="19" t="s">
        <v>316</v>
      </c>
      <c r="F2" s="19"/>
      <c r="G2" s="19"/>
      <c r="H2" s="19"/>
      <c r="I2" s="19"/>
      <c r="J2" s="19"/>
      <c r="K2" s="19"/>
      <c r="L2" s="19"/>
      <c r="M2" s="19"/>
      <c r="N2" s="17"/>
      <c r="O2" s="17"/>
      <c r="P2" s="17"/>
      <c r="Q2" s="17"/>
      <c r="R2" s="17"/>
      <c r="S2" s="17"/>
      <c r="T2" s="17"/>
      <c r="U2" s="18"/>
    </row>
    <row r="3" spans="1:74" s="4" customFormat="1" ht="8.25" customHeight="1">
      <c r="A3" s="14"/>
    </row>
    <row r="4" spans="1:74" s="4" customFormat="1" ht="7.5" customHeight="1">
      <c r="A4" s="14"/>
    </row>
    <row r="5" spans="1:74" s="12" customFormat="1" ht="10.5" customHeight="1">
      <c r="A5" s="14"/>
    </row>
    <row r="6" spans="1:74" s="12" customFormat="1" ht="9.75" customHeight="1">
      <c r="A6" s="14"/>
    </row>
    <row r="7" spans="1:74" s="12" customFormat="1" ht="33" customHeight="1">
      <c r="A7" s="14"/>
    </row>
    <row r="8" spans="1:74">
      <c r="A8" s="14" t="s">
        <v>319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</row>
    <row r="9" spans="1:74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</row>
    <row r="10" spans="1:74">
      <c r="A10" s="1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</row>
    <row r="11" spans="1:74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</row>
    <row r="12" spans="1:74">
      <c r="A12" s="1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</row>
    <row r="13" spans="1:74">
      <c r="A13" s="1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</row>
    <row r="14" spans="1:74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</row>
    <row r="15" spans="1:74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</row>
    <row r="16" spans="1:74">
      <c r="A16" s="1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</row>
    <row r="17" spans="1:74">
      <c r="A17" s="1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</row>
    <row r="18" spans="1:74">
      <c r="A18" s="1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</row>
    <row r="19" spans="1:74">
      <c r="A19" s="1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</row>
    <row r="20" spans="1:74">
      <c r="A20" s="1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</row>
    <row r="21" spans="1:74">
      <c r="A21" s="1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</row>
    <row r="22" spans="1:74">
      <c r="A22" s="1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</row>
    <row r="23" spans="1:74">
      <c r="A23" s="1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</row>
    <row r="24" spans="1:74">
      <c r="A24" s="1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</row>
    <row r="25" spans="1:74">
      <c r="A25" s="1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</row>
    <row r="26" spans="1:74">
      <c r="A26" s="1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</row>
    <row r="27" spans="1:74">
      <c r="A27" s="1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</row>
    <row r="28" spans="1:74">
      <c r="A28" s="1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</row>
    <row r="29" spans="1:74">
      <c r="A29" s="1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</row>
    <row r="30" spans="1:74">
      <c r="A30" s="1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</row>
    <row r="31" spans="1:74">
      <c r="A31" s="1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</row>
    <row r="32" spans="1:74">
      <c r="A32" s="1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</row>
    <row r="33" spans="1:74">
      <c r="A33" s="1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</row>
    <row r="34" spans="1:74">
      <c r="A34" s="1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</row>
    <row r="35" spans="1:74">
      <c r="A35" s="1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</row>
    <row r="36" spans="1:74">
      <c r="A36" s="1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</row>
    <row r="37" spans="1:74">
      <c r="A37" s="1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</row>
    <row r="38" spans="1:74">
      <c r="A38" s="1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</row>
    <row r="39" spans="1:74">
      <c r="A39" s="1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</row>
    <row r="40" spans="1:74">
      <c r="A40" s="1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</row>
    <row r="41" spans="1:74">
      <c r="A41" s="1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</row>
    <row r="42" spans="1:74">
      <c r="A42" s="1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</row>
    <row r="43" spans="1:74">
      <c r="A43" s="1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</row>
    <row r="44" spans="1:74">
      <c r="A44" s="1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</row>
    <row r="45" spans="1:74">
      <c r="A45" s="1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</row>
    <row r="46" spans="1:74">
      <c r="A46" s="1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</row>
    <row r="47" spans="1:74">
      <c r="A47" s="1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</row>
    <row r="48" spans="1:74">
      <c r="A48" s="1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</row>
    <row r="49" spans="1:74">
      <c r="A49" s="1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</row>
    <row r="50" spans="1:74">
      <c r="A50" s="1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</row>
    <row r="51" spans="1:74">
      <c r="A51" s="1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</row>
    <row r="52" spans="1:74">
      <c r="A52" s="1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</row>
    <row r="53" spans="1:74">
      <c r="A53" s="1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</row>
    <row r="54" spans="1:74">
      <c r="A54" s="1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</row>
    <row r="55" spans="1:74">
      <c r="A55" s="1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</row>
    <row r="56" spans="1:74">
      <c r="A56" s="1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</row>
    <row r="57" spans="1:74">
      <c r="A57" s="1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</row>
    <row r="58" spans="1:74">
      <c r="A58" s="1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</row>
    <row r="59" spans="1:74">
      <c r="A59" s="1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</row>
    <row r="60" spans="1:74">
      <c r="A60" s="1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</row>
    <row r="61" spans="1:74">
      <c r="A61" s="1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</row>
    <row r="62" spans="1:74">
      <c r="A62" s="1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</row>
    <row r="63" spans="1:74">
      <c r="A63" s="1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</row>
    <row r="64" spans="1:74">
      <c r="A64" s="1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</row>
    <row r="65" spans="1:74">
      <c r="A65" s="1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</row>
    <row r="66" spans="1:74">
      <c r="A66" s="1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</row>
    <row r="67" spans="1:74">
      <c r="A67" s="1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</row>
    <row r="68" spans="1:74">
      <c r="A68" s="1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</row>
    <row r="69" spans="1:74">
      <c r="A69" s="1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</row>
    <row r="70" spans="1:74">
      <c r="A70" s="1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</row>
    <row r="71" spans="1:74">
      <c r="A71" s="1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</row>
    <row r="72" spans="1:74">
      <c r="A72" s="1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</row>
    <row r="73" spans="1:74">
      <c r="A73" s="1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</row>
    <row r="74" spans="1:74">
      <c r="A74" s="1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</row>
    <row r="75" spans="1:74">
      <c r="A75" s="1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</row>
    <row r="76" spans="1:74">
      <c r="A76" s="1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</row>
    <row r="77" spans="1:74">
      <c r="A77" s="1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</row>
    <row r="78" spans="1:74">
      <c r="A78" s="1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</row>
    <row r="79" spans="1:74">
      <c r="A79" s="1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</row>
    <row r="80" spans="1:74">
      <c r="A80" s="1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</row>
    <row r="81" spans="1:74">
      <c r="A81" s="1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</row>
    <row r="82" spans="1:74">
      <c r="A82" s="1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</row>
    <row r="83" spans="1:74">
      <c r="A83" s="1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</row>
    <row r="84" spans="1:74">
      <c r="A84" s="1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</row>
    <row r="85" spans="1:74">
      <c r="A85" s="1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</row>
    <row r="86" spans="1:74">
      <c r="A86" s="1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</row>
    <row r="87" spans="1:74">
      <c r="A87" s="1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</row>
    <row r="88" spans="1:74">
      <c r="A88" s="1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</row>
    <row r="89" spans="1:74">
      <c r="A89" s="1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</row>
    <row r="90" spans="1:74">
      <c r="A90" s="1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</row>
    <row r="91" spans="1:74">
      <c r="A91" s="14"/>
    </row>
    <row r="92" spans="1:74">
      <c r="A92" s="14"/>
    </row>
    <row r="93" spans="1:74">
      <c r="A93" s="14"/>
    </row>
    <row r="94" spans="1:74">
      <c r="A94" s="14"/>
    </row>
    <row r="95" spans="1:74">
      <c r="A95" s="14"/>
    </row>
    <row r="96" spans="1:74">
      <c r="A96" s="14"/>
    </row>
    <row r="97" spans="1:1">
      <c r="A97" s="14"/>
    </row>
    <row r="98" spans="1:1">
      <c r="A98" s="14"/>
    </row>
    <row r="99" spans="1:1">
      <c r="A99" s="14"/>
    </row>
    <row r="100" spans="1:1">
      <c r="A100" s="14"/>
    </row>
    <row r="101" spans="1:1">
      <c r="A101" s="14"/>
    </row>
    <row r="102" spans="1:1">
      <c r="A102" s="14"/>
    </row>
    <row r="103" spans="1:1">
      <c r="A103" s="14"/>
    </row>
    <row r="104" spans="1:1">
      <c r="A104" s="14"/>
    </row>
    <row r="105" spans="1:1">
      <c r="A105" s="14"/>
    </row>
    <row r="106" spans="1:1">
      <c r="A106" s="14"/>
    </row>
    <row r="107" spans="1:1">
      <c r="A107" s="14"/>
    </row>
    <row r="108" spans="1:1">
      <c r="A108" s="14"/>
    </row>
  </sheetData>
  <mergeCells count="1">
    <mergeCell ref="E2:M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</cp:lastModifiedBy>
  <dcterms:created xsi:type="dcterms:W3CDTF">2024-12-19T13:13:10Z</dcterms:created>
  <dcterms:modified xsi:type="dcterms:W3CDTF">2026-03-17T19:44:31Z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